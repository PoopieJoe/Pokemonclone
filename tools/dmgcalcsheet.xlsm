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Projects\VSCode\Pokemonclone\tools\"/>
    </mc:Choice>
  </mc:AlternateContent>
  <xr:revisionPtr revIDLastSave="0" documentId="13_ncr:1_{0678F146-8143-4348-97B7-2B5BC5FB49FF}" xr6:coauthVersionLast="47" xr6:coauthVersionMax="47" xr10:uidLastSave="{00000000-0000-0000-0000-000000000000}"/>
  <bookViews>
    <workbookView xWindow="4170" yWindow="2550" windowWidth="18675" windowHeight="12615" xr2:uid="{8A0B4C3C-765A-46CE-9F45-BFF908B714FB}"/>
  </bookViews>
  <sheets>
    <sheet name="Calcsheet" sheetId="1" r:id="rId1"/>
    <sheet name="Attacksdb" sheetId="3" r:id="rId2"/>
    <sheet name="Speciesdb" sheetId="2" r:id="rId3"/>
  </sheets>
  <definedNames>
    <definedName name="ExternalData_1" localSheetId="1" hidden="1">Attacksdb!$A$1:$L$14</definedName>
    <definedName name="ExternalData_1" localSheetId="2" hidden="1">Speciesdb!$A$1:$M$6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6" i="1" l="1"/>
  <c r="C15" i="1"/>
  <c r="D16" i="1" s="1"/>
  <c r="F23" i="1"/>
  <c r="D13" i="1"/>
  <c r="E13" i="1" s="1"/>
  <c r="D12" i="1"/>
  <c r="E12" i="1" s="1"/>
  <c r="D11" i="1"/>
  <c r="J7" i="1"/>
  <c r="I7" i="1"/>
  <c r="I6" i="1"/>
  <c r="Q7" i="1"/>
  <c r="P7" i="1"/>
  <c r="Q6" i="1" a="1"/>
  <c r="Q6" i="1" s="1"/>
  <c r="P8" i="1" s="1"/>
  <c r="P9" i="1" s="1"/>
  <c r="P6" i="1"/>
  <c r="J6" i="1" a="1"/>
  <c r="J6" i="1" s="1"/>
  <c r="I8" i="1" l="1"/>
  <c r="I9" i="1" s="1"/>
  <c r="C16" i="1"/>
  <c r="C24" i="1"/>
  <c r="E24" i="1"/>
  <c r="D24" i="1"/>
  <c r="E11" i="1"/>
  <c r="D14" i="1"/>
  <c r="E14" i="1" s="1"/>
  <c r="D9" i="1"/>
  <c r="E9" i="1" s="1"/>
  <c r="D7" i="1"/>
  <c r="E7" i="1" s="1"/>
  <c r="D8" i="1"/>
  <c r="E8" i="1" s="1"/>
  <c r="D10" i="1"/>
  <c r="P17" i="1"/>
  <c r="C21" i="1" l="1" a="1"/>
  <c r="C21" i="1" s="1"/>
  <c r="D20" i="1"/>
  <c r="D21" i="1"/>
  <c r="C20" i="1"/>
  <c r="L25" i="1"/>
  <c r="E20" i="1" l="1"/>
  <c r="F20" i="1" s="1"/>
  <c r="N25" i="1"/>
  <c r="O25" i="1" s="1"/>
  <c r="L26" i="1"/>
  <c r="O26" i="1" s="1"/>
  <c r="L27" i="1"/>
  <c r="N27" i="1" s="1"/>
  <c r="O27" i="1" s="1"/>
  <c r="L24" i="1"/>
  <c r="N24" i="1" s="1"/>
  <c r="O24" i="1" s="1"/>
  <c r="N28" i="1" l="1"/>
  <c r="O28" i="1" s="1"/>
  <c r="L2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7D202A-4862-4A67-BBFF-E6E5B6A43D56}" keepAlive="1" name="Query - Attacksdb" description="Connection to the 'Attacksdb' query in the workbook." type="5" refreshedVersion="7" background="1" saveData="1">
    <dbPr connection="Provider=Microsoft.Mashup.OleDb.1;Data Source=$Workbook$;Location=Attacksdb;Extended Properties=&quot;&quot;" command="SELECT * FROM [Attacksdb]"/>
  </connection>
  <connection id="2" xr16:uid="{91F6C756-1D3F-47C4-8C64-5E3DE43FC395}" keepAlive="1" name="Query - Speciesdb" description="Connection to the 'Speciesdb' query in the workbook." type="5" refreshedVersion="7" background="1" saveData="1">
    <dbPr connection="Provider=Microsoft.Mashup.OleDb.1;Data Source=$Workbook$;Location=Speciesdb;Extended Properties=&quot;&quot;" command="SELECT * FROM [Speciesd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<sst xmlns="http://schemas.openxmlformats.org/spreadsheetml/2006/main" count="168" uniqueCount="90">
  <si>
    <t>Reference</t>
  </si>
  <si>
    <t>ID</t>
  </si>
  <si>
    <t>Name</t>
  </si>
  <si>
    <t>Anatomy</t>
  </si>
  <si>
    <t>maxHP</t>
  </si>
  <si>
    <t>physATK</t>
  </si>
  <si>
    <t>armor</t>
  </si>
  <si>
    <t>magATK</t>
  </si>
  <si>
    <t>heatRES</t>
  </si>
  <si>
    <t>coldRES</t>
  </si>
  <si>
    <t>shockRES</t>
  </si>
  <si>
    <t>SPE</t>
  </si>
  <si>
    <t>Ability</t>
  </si>
  <si>
    <t>Flags</t>
  </si>
  <si>
    <t>Humanoid</t>
  </si>
  <si>
    <t/>
  </si>
  <si>
    <t>Lurker</t>
  </si>
  <si>
    <t>Viper</t>
  </si>
  <si>
    <t>Snakelike</t>
  </si>
  <si>
    <t>Lizion</t>
  </si>
  <si>
    <t>Chimera</t>
  </si>
  <si>
    <t>Halfling</t>
  </si>
  <si>
    <t>Physical power</t>
  </si>
  <si>
    <t>Heat power</t>
  </si>
  <si>
    <t>Cold power</t>
  </si>
  <si>
    <t>Shock power</t>
  </si>
  <si>
    <t>Accuracy</t>
  </si>
  <si>
    <t>Crit rate mod</t>
  </si>
  <si>
    <t>Effects</t>
  </si>
  <si>
    <t>ChainID</t>
  </si>
  <si>
    <t>Tooltip</t>
  </si>
  <si>
    <t>Heavy slam</t>
  </si>
  <si>
    <t>Target_other,Contact</t>
  </si>
  <si>
    <t>Hit thing hard</t>
  </si>
  <si>
    <t>Tail swipe</t>
  </si>
  <si>
    <t>Slow_1(1)</t>
  </si>
  <si>
    <t>Sweep legs make slow</t>
  </si>
  <si>
    <t>Ignition</t>
  </si>
  <si>
    <t>Burn(1)</t>
  </si>
  <si>
    <t>Burn</t>
  </si>
  <si>
    <t>Frigid gaze</t>
  </si>
  <si>
    <t>Target_team</t>
  </si>
  <si>
    <t>Resting Bitch Face</t>
  </si>
  <si>
    <t>Blazing flurry</t>
  </si>
  <si>
    <t>Multihit_5,Burn(0.2)</t>
  </si>
  <si>
    <t>Consecutive regular punches</t>
  </si>
  <si>
    <t>Ice lash</t>
  </si>
  <si>
    <t>Target_other</t>
  </si>
  <si>
    <t>Lash</t>
  </si>
  <si>
    <t>Elemental rush</t>
  </si>
  <si>
    <t>Burn(0.2)</t>
  </si>
  <si>
    <t>Elemental rush 2</t>
  </si>
  <si>
    <t>Slow_1(0.2)</t>
  </si>
  <si>
    <t>Elemental rush 3</t>
  </si>
  <si>
    <t>Physical Reference</t>
  </si>
  <si>
    <t>Reference attack for physical attacks</t>
  </si>
  <si>
    <t>Heat Reference</t>
  </si>
  <si>
    <t>Reference attack for heat attacks</t>
  </si>
  <si>
    <t>Cold Reference</t>
  </si>
  <si>
    <t>Reference attack for cold attacks</t>
  </si>
  <si>
    <t>Shock Reference</t>
  </si>
  <si>
    <t>Reference attack for shock attacks</t>
  </si>
  <si>
    <t>Phys</t>
  </si>
  <si>
    <t>Heat</t>
  </si>
  <si>
    <t>Cold</t>
  </si>
  <si>
    <t>Shock</t>
  </si>
  <si>
    <t>Total</t>
  </si>
  <si>
    <t>Species</t>
  </si>
  <si>
    <t>Attacker</t>
  </si>
  <si>
    <t>Defender</t>
  </si>
  <si>
    <t>Attack</t>
  </si>
  <si>
    <t>Power</t>
  </si>
  <si>
    <t>Relative Speed</t>
  </si>
  <si>
    <t>Raw damage per hit</t>
  </si>
  <si>
    <t>Damage taken per hit</t>
  </si>
  <si>
    <t>#Hits</t>
  </si>
  <si>
    <t>Crit</t>
  </si>
  <si>
    <t>no</t>
  </si>
  <si>
    <t>Val</t>
  </si>
  <si>
    <t>Final</t>
  </si>
  <si>
    <t>Deviation</t>
  </si>
  <si>
    <t>Bulk</t>
  </si>
  <si>
    <t>Physical</t>
  </si>
  <si>
    <t>Magical</t>
  </si>
  <si>
    <t>Offense</t>
  </si>
  <si>
    <t>Inter</t>
  </si>
  <si>
    <t>Utility</t>
  </si>
  <si>
    <t>Weight</t>
  </si>
  <si>
    <t>%</t>
  </si>
  <si>
    <t>Averaged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</si>
</sst>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\ \x"/>
  </numFmts>
  <fonts count="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3">
    <xf numFmtId="0" fontId="0" fillId="0" borderId="0" xfId="0"/>
    <xf numFmtId="0" fontId="0" fillId="0" borderId="0" xfId="0" applyNumberFormat="1"/>
    <xf numFmtId="0" fontId="0" fillId="0" borderId="0" xfId="0" applyBorder="1"/>
    <xf numFmtId="0" fontId="0" fillId="0" borderId="1" xfId="0" applyBorder="1"/>
    <xf numFmtId="0" fontId="0" fillId="0" borderId="0" xfId="0" applyBorder="1" applyAlignment="1"/>
    <xf numFmtId="0" fontId="1" fillId="0" borderId="0" xfId="0" applyFont="1" applyFill="1" applyBorder="1" applyAlignment="1"/>
    <xf numFmtId="0" fontId="1" fillId="0" borderId="0" xfId="0" applyFont="1" applyFill="1" applyBorder="1"/>
    <xf numFmtId="0" fontId="0" fillId="0" borderId="7" xfId="0" applyBorder="1" applyAlignment="1"/>
    <xf numFmtId="0" fontId="0" fillId="0" borderId="8" xfId="0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5" xfId="0" applyBorder="1"/>
    <xf numFmtId="0" fontId="1" fillId="0" borderId="10" xfId="0" applyFont="1" applyFill="1" applyBorder="1"/>
    <xf numFmtId="0" fontId="0" fillId="0" borderId="12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" xfId="0" applyBorder="1" applyAlignment="1">
      <alignment horizontal="right"/>
    </xf>
    <xf numFmtId="0" fontId="0" fillId="0" borderId="14" xfId="0" applyBorder="1"/>
    <xf numFmtId="0" fontId="0" fillId="0" borderId="13" xfId="0" applyBorder="1"/>
    <xf numFmtId="9" fontId="0" fillId="0" borderId="0" xfId="1" applyFont="1"/>
    <xf numFmtId="2" fontId="0" fillId="0" borderId="0" xfId="0" applyNumberFormat="1"/>
    <xf numFmtId="2" fontId="0" fillId="0" borderId="1" xfId="0" applyNumberFormat="1" applyBorder="1"/>
    <xf numFmtId="9" fontId="0" fillId="0" borderId="7" xfId="1" applyFont="1" applyBorder="1" applyAlignment="1">
      <alignment horizontal="left"/>
    </xf>
    <xf numFmtId="0" fontId="0" fillId="0" borderId="10" xfId="0" applyBorder="1"/>
    <xf numFmtId="0" fontId="0" fillId="0" borderId="4" xfId="0" applyBorder="1"/>
    <xf numFmtId="0" fontId="0" fillId="2" borderId="0" xfId="0" applyFill="1"/>
    <xf numFmtId="0" fontId="0" fillId="0" borderId="0" xfId="0" applyAlignment="1">
      <alignment horizontal="right"/>
    </xf>
    <xf numFmtId="9" fontId="0" fillId="0" borderId="0" xfId="1" applyFon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9" fontId="0" fillId="0" borderId="1" xfId="1" applyFont="1" applyBorder="1"/>
    <xf numFmtId="0" fontId="0" fillId="0" borderId="21" xfId="0" applyBorder="1"/>
    <xf numFmtId="9" fontId="0" fillId="0" borderId="16" xfId="1" applyFont="1" applyBorder="1"/>
    <xf numFmtId="0" fontId="0" fillId="0" borderId="20" xfId="0" applyBorder="1"/>
    <xf numFmtId="9" fontId="0" fillId="0" borderId="15" xfId="1" applyFont="1" applyBorder="1"/>
    <xf numFmtId="9" fontId="0" fillId="0" borderId="20" xfId="1" applyFont="1" applyBorder="1"/>
    <xf numFmtId="0" fontId="1" fillId="0" borderId="15" xfId="0" applyFont="1" applyFill="1" applyBorder="1" applyAlignment="1"/>
    <xf numFmtId="0" fontId="1" fillId="0" borderId="18" xfId="0" applyFont="1" applyFill="1" applyBorder="1"/>
    <xf numFmtId="0" fontId="0" fillId="0" borderId="18" xfId="0" applyBorder="1"/>
    <xf numFmtId="0" fontId="1" fillId="0" borderId="20" xfId="0" applyFont="1" applyFill="1" applyBorder="1"/>
    <xf numFmtId="0" fontId="3" fillId="0" borderId="22" xfId="0" applyFont="1" applyBorder="1"/>
    <xf numFmtId="9" fontId="0" fillId="0" borderId="16" xfId="1" applyFon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9" fontId="0" fillId="0" borderId="22" xfId="1" applyFont="1" applyBorder="1" applyAlignment="1">
      <alignment horizontal="center" vertical="center"/>
    </xf>
    <xf numFmtId="9" fontId="0" fillId="0" borderId="14" xfId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3" fillId="0" borderId="0" xfId="0" applyFont="1" applyBorder="1"/>
    <xf numFmtId="9" fontId="0" fillId="0" borderId="0" xfId="1" applyFont="1" applyBorder="1" applyAlignment="1">
      <alignment vertical="center"/>
    </xf>
    <xf numFmtId="9" fontId="0" fillId="0" borderId="0" xfId="1" applyFont="1" applyBorder="1" applyAlignment="1">
      <alignment horizontal="center" vertical="center"/>
    </xf>
    <xf numFmtId="9" fontId="0" fillId="0" borderId="17" xfId="1" applyFont="1" applyBorder="1"/>
    <xf numFmtId="9" fontId="0" fillId="0" borderId="19" xfId="1" applyFont="1" applyBorder="1"/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9" fontId="0" fillId="0" borderId="18" xfId="1" applyFont="1" applyBorder="1"/>
    <xf numFmtId="9" fontId="0" fillId="0" borderId="20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9" fontId="0" fillId="0" borderId="8" xfId="0" applyNumberFormat="1" applyBorder="1"/>
    <xf numFmtId="9" fontId="0" fillId="0" borderId="18" xfId="1" applyFont="1" applyBorder="1" applyAlignment="1">
      <alignment horizontal="center"/>
    </xf>
    <xf numFmtId="9" fontId="0" fillId="0" borderId="0" xfId="1" applyFont="1" applyBorder="1" applyAlignment="1">
      <alignment horizontal="center"/>
    </xf>
    <xf numFmtId="9" fontId="0" fillId="0" borderId="19" xfId="1" applyFont="1" applyBorder="1" applyAlignment="1">
      <alignment horizontal="center"/>
    </xf>
    <xf numFmtId="2" fontId="0" fillId="0" borderId="23" xfId="0" applyNumberFormat="1" applyBorder="1"/>
    <xf numFmtId="0" fontId="0" fillId="0" borderId="24" xfId="0" applyBorder="1"/>
    <xf numFmtId="0" fontId="0" fillId="0" borderId="25" xfId="0" applyBorder="1"/>
    <xf numFmtId="2" fontId="0" fillId="0" borderId="7" xfId="0" applyNumberFormat="1" applyBorder="1"/>
    <xf numFmtId="2" fontId="0" fillId="0" borderId="9" xfId="0" applyNumberFormat="1" applyBorder="1"/>
    <xf numFmtId="9" fontId="0" fillId="0" borderId="10" xfId="1" applyFont="1" applyBorder="1"/>
    <xf numFmtId="9" fontId="0" fillId="0" borderId="26" xfId="0" applyNumberFormat="1" applyBorder="1" applyAlignment="1">
      <alignment horizontal="center"/>
    </xf>
    <xf numFmtId="0" fontId="0" fillId="0" borderId="22" xfId="0" applyBorder="1"/>
    <xf numFmtId="9" fontId="0" fillId="0" borderId="13" xfId="1" applyFont="1" applyBorder="1"/>
    <xf numFmtId="165" fontId="0" fillId="0" borderId="0" xfId="1" applyNumberFormat="1" applyFont="1"/>
    <xf numFmtId="165" fontId="0" fillId="0" borderId="8" xfId="1" applyNumberFormat="1" applyFont="1" applyBorder="1"/>
    <xf numFmtId="165" fontId="0" fillId="0" borderId="11" xfId="1" applyNumberFormat="1" applyFont="1" applyBorder="1"/>
    <xf numFmtId="2" fontId="0" fillId="0" borderId="0" xfId="0" applyNumberFormat="1" applyBorder="1"/>
    <xf numFmtId="10" fontId="0" fillId="0" borderId="0" xfId="1" applyNumberFormat="1" applyFont="1" applyBorder="1"/>
  </cellXfs>
  <cellStyles count="2">
    <cellStyle name="Normal" xfId="0" builtinId="0"/>
    <cellStyle name="Percent" xfId="1" builtinId="5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6EE479"/>
      <color rgb="FF00CC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762000</xdr:colOff>
          <xdr:row>3</xdr:row>
          <xdr:rowOff>0</xdr:rowOff>
        </xdr:from>
        <xdr:to>
          <xdr:col>5</xdr:col>
          <xdr:colOff>19050</xdr:colOff>
          <xdr:row>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Reroll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5AA94DA-BF95-4437-83CB-2AFAB5AF52B0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Name" tableColumnId="2"/>
      <queryTableField id="3" name="Physical power" tableColumnId="3"/>
      <queryTableField id="4" name="Heat power" tableColumnId="4"/>
      <queryTableField id="5" name="Cold power" tableColumnId="5"/>
      <queryTableField id="6" name="Shock power" tableColumnId="6"/>
      <queryTableField id="7" name="Accuracy" tableColumnId="7"/>
      <queryTableField id="8" name="Crit rate mod" tableColumnId="8"/>
      <queryTableField id="9" name="Flags" tableColumnId="9"/>
      <queryTableField id="10" name="Effects" tableColumnId="10"/>
      <queryTableField id="11" name="ChainID" tableColumnId="11"/>
      <queryTableField id="12" name="Tooltip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E1AFCAF-0246-4090-B9D6-90CFFD2BC5E2}" autoFormatId="16" applyNumberFormats="0" applyBorderFormats="0" applyFontFormats="0" applyPatternFormats="0" applyAlignmentFormats="0" applyWidthHeightFormats="0">
  <queryTableRefresh nextId="14">
    <queryTableFields count="13">
      <queryTableField id="1" name="ID" tableColumnId="1"/>
      <queryTableField id="2" name="Name" tableColumnId="2"/>
      <queryTableField id="3" name="Anatomy" tableColumnId="3"/>
      <queryTableField id="4" name="maxHP" tableColumnId="4"/>
      <queryTableField id="5" name="physATK" tableColumnId="5"/>
      <queryTableField id="6" name="armor" tableColumnId="6"/>
      <queryTableField id="7" name="magATK" tableColumnId="7"/>
      <queryTableField id="8" name="heatRES" tableColumnId="8"/>
      <queryTableField id="9" name="coldRES" tableColumnId="9"/>
      <queryTableField id="10" name="shockRES" tableColumnId="10"/>
      <queryTableField id="11" name="SPE" tableColumnId="11"/>
      <queryTableField id="12" name="Ability" tableColumnId="12"/>
      <queryTableField id="13" name="Flags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C9B3A0-98BE-4651-820A-BF275CE6295D}" name="Attacksdb" displayName="Attacksdb" ref="A1:L14" tableType="queryTable" totalsRowShown="0">
  <autoFilter ref="A1:L14" xr:uid="{ABC9B3A0-98BE-4651-820A-BF275CE6295D}"/>
  <tableColumns count="12">
    <tableColumn id="1" xr3:uid="{3A033C01-4EA4-445F-8CA8-ED24F58EA32F}" uniqueName="1" name="ID" queryTableFieldId="1"/>
    <tableColumn id="2" xr3:uid="{9FCE5B30-2C99-4DFC-ABD9-BE644DF4FA90}" uniqueName="2" name="Name" queryTableFieldId="2" dataDxfId="7"/>
    <tableColumn id="3" xr3:uid="{EE9CF04A-5BC7-4F83-AD70-74217ECD0882}" uniqueName="3" name="Physical power" queryTableFieldId="3"/>
    <tableColumn id="4" xr3:uid="{1E9C7A7F-045F-4F54-91B7-D687EFF09A9C}" uniqueName="4" name="Heat power" queryTableFieldId="4"/>
    <tableColumn id="5" xr3:uid="{948D9093-561F-4902-BE1F-5C09C67EDBA9}" uniqueName="5" name="Cold power" queryTableFieldId="5"/>
    <tableColumn id="6" xr3:uid="{FC2C1DE0-EED5-4099-9D67-5D6618858700}" uniqueName="6" name="Shock power" queryTableFieldId="6"/>
    <tableColumn id="7" xr3:uid="{D9168A56-5A2B-470E-A6F1-A5507C520A30}" uniqueName="7" name="Accuracy" queryTableFieldId="7"/>
    <tableColumn id="8" xr3:uid="{EB0BA191-2863-4D2D-8F00-5CEC229A7543}" uniqueName="8" name="Crit rate mod" queryTableFieldId="8"/>
    <tableColumn id="9" xr3:uid="{8B6EE273-BCA7-413C-8DA8-DB311BF520C2}" uniqueName="9" name="Flags" queryTableFieldId="9" dataDxfId="6"/>
    <tableColumn id="10" xr3:uid="{EE0649D9-43BB-492C-B745-86D0AC6C0FE8}" uniqueName="10" name="Effects" queryTableFieldId="10" dataDxfId="5"/>
    <tableColumn id="11" xr3:uid="{583E0E7B-2817-42CA-B2EA-84CBE94221CD}" uniqueName="11" name="ChainID" queryTableFieldId="11"/>
    <tableColumn id="12" xr3:uid="{73078E69-3CB2-4097-B45A-7FEA0F89DD5E}" uniqueName="12" name="Tooltip" queryTableFieldId="12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8F69FC-C43E-4BF6-A3A7-047E85088161}" name="Speciesdb" displayName="Speciesdb" ref="A1:M6" tableType="queryTable" totalsRowShown="0">
  <autoFilter ref="A1:M6" xr:uid="{7E8F69FC-C43E-4BF6-A3A7-047E85088161}"/>
  <tableColumns count="13">
    <tableColumn id="1" xr3:uid="{4EFBF8AE-9D9B-472D-9B3C-A75229595B0A}" uniqueName="1" name="ID" queryTableFieldId="1"/>
    <tableColumn id="2" xr3:uid="{5CFFFE1A-7B86-44D0-8B78-5433C62C202C}" uniqueName="2" name="Name" queryTableFieldId="2" dataDxfId="3"/>
    <tableColumn id="3" xr3:uid="{CFA9A7D3-53DB-422B-A2B7-C9B3447D1EBA}" uniqueName="3" name="Anatomy" queryTableFieldId="3" dataDxfId="2"/>
    <tableColumn id="4" xr3:uid="{ADD33D2E-5024-48F4-9E47-3D41352465E6}" uniqueName="4" name="maxHP" queryTableFieldId="4"/>
    <tableColumn id="5" xr3:uid="{B1B8D325-C70A-476E-80E2-9DD09DD31E9D}" uniqueName="5" name="physATK" queryTableFieldId="5"/>
    <tableColumn id="6" xr3:uid="{5205C249-CAA6-45B5-BE04-D7707FD5BD7E}" uniqueName="6" name="armor" queryTableFieldId="6"/>
    <tableColumn id="7" xr3:uid="{4038B54A-5F70-48F8-B99F-75740C297296}" uniqueName="7" name="magATK" queryTableFieldId="7"/>
    <tableColumn id="8" xr3:uid="{F3BE1B0A-F205-40F5-8248-1FEBB80DC55F}" uniqueName="8" name="heatRES" queryTableFieldId="8"/>
    <tableColumn id="9" xr3:uid="{6C4EC5C2-7358-4CD6-A303-4F844D50A9A5}" uniqueName="9" name="coldRES" queryTableFieldId="9"/>
    <tableColumn id="10" xr3:uid="{370F07C8-9BA1-43A4-98C3-8812F7F1527F}" uniqueName="10" name="shockRES" queryTableFieldId="10"/>
    <tableColumn id="11" xr3:uid="{C2EF0A01-FE58-4C11-A25E-D2AF3DC5601B}" uniqueName="11" name="SPE" queryTableFieldId="11"/>
    <tableColumn id="12" xr3:uid="{3F25B186-E504-4E2B-A7B4-AA41B2669AB8}" uniqueName="12" name="Ability" queryTableFieldId="12" dataDxfId="1"/>
    <tableColumn id="13" xr3:uid="{299AB93D-4661-4CD9-A7BF-212C950C90A5}" uniqueName="13" name="Flags" queryTableFieldId="1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11DE4-4E3C-4A64-A65F-7C379180ED5D}">
  <sheetPr codeName="Sheet1"/>
  <dimension ref="A2:Y28"/>
  <sheetViews>
    <sheetView tabSelected="1" workbookViewId="0">
      <selection activeCell="G7" sqref="G7"/>
    </sheetView>
  </sheetViews>
  <sheetFormatPr defaultRowHeight="15" x14ac:dyDescent="0.25"/>
  <cols>
    <col min="4" max="4" width="12" bestFit="1" customWidth="1"/>
    <col min="6" max="6" width="10.140625" customWidth="1"/>
  </cols>
  <sheetData>
    <row r="2" spans="1:25" ht="15.75" thickBot="1" x14ac:dyDescent="0.3">
      <c r="Q2" s="2"/>
      <c r="R2" s="2"/>
      <c r="S2" s="2"/>
      <c r="T2" s="2"/>
    </row>
    <row r="3" spans="1:25" ht="15.75" thickBot="1" x14ac:dyDescent="0.3">
      <c r="K3" s="52" t="s">
        <v>68</v>
      </c>
      <c r="L3" s="53"/>
      <c r="N3" s="52" t="s">
        <v>69</v>
      </c>
      <c r="O3" s="53"/>
      <c r="Q3" s="2"/>
      <c r="R3" s="2"/>
      <c r="S3" s="2"/>
      <c r="T3" s="2"/>
    </row>
    <row r="4" spans="1:25" x14ac:dyDescent="0.25">
      <c r="K4" s="50" t="s">
        <v>21</v>
      </c>
      <c r="L4" s="51"/>
      <c r="M4" s="13" t="s">
        <v>67</v>
      </c>
      <c r="N4" s="50" t="s">
        <v>16</v>
      </c>
      <c r="O4" s="51"/>
      <c r="S4" s="4"/>
      <c r="T4" s="2"/>
    </row>
    <row r="5" spans="1:25" ht="15.75" thickBot="1" x14ac:dyDescent="0.3">
      <c r="C5" s="29" t="s">
        <v>78</v>
      </c>
      <c r="D5" s="30" t="s">
        <v>85</v>
      </c>
      <c r="E5" s="31" t="s">
        <v>79</v>
      </c>
      <c r="I5" s="29" t="s">
        <v>82</v>
      </c>
      <c r="J5" s="30" t="s">
        <v>83</v>
      </c>
      <c r="K5" s="7"/>
      <c r="L5" s="8" t="s">
        <v>14</v>
      </c>
      <c r="M5" s="5" t="s">
        <v>3</v>
      </c>
      <c r="N5" s="15" t="s">
        <v>14</v>
      </c>
      <c r="O5" s="8"/>
      <c r="P5" s="30" t="s">
        <v>82</v>
      </c>
      <c r="Q5" s="31" t="s">
        <v>83</v>
      </c>
      <c r="T5" s="2"/>
    </row>
    <row r="6" spans="1:25" x14ac:dyDescent="0.25">
      <c r="B6" s="39" t="s">
        <v>3</v>
      </c>
      <c r="C6" s="69"/>
      <c r="D6" s="70"/>
      <c r="E6" s="71"/>
      <c r="H6" s="29" t="s">
        <v>81</v>
      </c>
      <c r="I6" s="37">
        <f>L6/200*L8/100-1</f>
        <v>-0.31999999999999995</v>
      </c>
      <c r="J6" s="35" cm="1">
        <f t="array" ref="J6">AVERAGE(L6*(1+L10:L12))/200-1</f>
        <v>0.10499999999999998</v>
      </c>
      <c r="K6" s="9"/>
      <c r="L6" s="10">
        <v>170</v>
      </c>
      <c r="M6" s="6" t="s">
        <v>4</v>
      </c>
      <c r="N6" s="16">
        <v>160</v>
      </c>
      <c r="O6" s="10"/>
      <c r="P6" s="35">
        <f>N6/200*N8/100-1</f>
        <v>0</v>
      </c>
      <c r="Q6" s="58" cm="1">
        <f t="array" ref="Q6">AVERAGE(N6*(1+N10:N12))/200-1</f>
        <v>-0.57333333333333336</v>
      </c>
      <c r="R6" s="31" t="s">
        <v>81</v>
      </c>
      <c r="T6" s="2"/>
    </row>
    <row r="7" spans="1:25" x14ac:dyDescent="0.25">
      <c r="B7" s="40" t="s">
        <v>4</v>
      </c>
      <c r="C7" s="72">
        <v>65.208606882031233</v>
      </c>
      <c r="D7" s="81">
        <f>((C7-100)^3/100^2+C7+100)</f>
        <v>160.99731389224084</v>
      </c>
      <c r="E7" s="10">
        <f>MROUND(D7,5)</f>
        <v>160</v>
      </c>
      <c r="H7" s="41" t="s">
        <v>84</v>
      </c>
      <c r="I7" s="62">
        <f>L7/100*L13/100-1</f>
        <v>-0.61199999999999988</v>
      </c>
      <c r="J7" s="28">
        <f>L9/100*L13/100-1</f>
        <v>6.6999999999999948E-2</v>
      </c>
      <c r="K7" s="9"/>
      <c r="L7" s="10">
        <v>40</v>
      </c>
      <c r="M7" s="6" t="s">
        <v>5</v>
      </c>
      <c r="N7" s="16">
        <v>150</v>
      </c>
      <c r="O7" s="10"/>
      <c r="P7" s="28">
        <f>N7/100*N13/100-1</f>
        <v>5.0000000000000044E-2</v>
      </c>
      <c r="Q7" s="59">
        <f>N9/100*N13/100-1</f>
        <v>-0.43999999999999995</v>
      </c>
      <c r="R7" s="32" t="s">
        <v>84</v>
      </c>
      <c r="T7" s="2"/>
    </row>
    <row r="8" spans="1:25" x14ac:dyDescent="0.25">
      <c r="B8" s="40" t="s">
        <v>5</v>
      </c>
      <c r="C8" s="72">
        <v>150.59740581906806</v>
      </c>
      <c r="D8" s="81">
        <f>C8</f>
        <v>150.59740581906806</v>
      </c>
      <c r="E8" s="10">
        <f t="shared" ref="E8:E10" si="0">MROUND(D8,5)</f>
        <v>150</v>
      </c>
      <c r="H8" s="41" t="s">
        <v>86</v>
      </c>
      <c r="I8" s="66">
        <f>(MAX(I6:J6)+1)*L13/100-1</f>
        <v>7.1849999999999969E-2</v>
      </c>
      <c r="J8" s="67"/>
      <c r="K8" s="9"/>
      <c r="L8" s="10">
        <v>80</v>
      </c>
      <c r="M8" s="6" t="s">
        <v>6</v>
      </c>
      <c r="N8" s="16">
        <v>125</v>
      </c>
      <c r="O8" s="10"/>
      <c r="P8" s="67">
        <f>(MAX(P6:Q6)+1)*N13/100-1</f>
        <v>-0.30000000000000004</v>
      </c>
      <c r="Q8" s="68"/>
      <c r="R8" s="32" t="s">
        <v>86</v>
      </c>
      <c r="T8" s="2"/>
    </row>
    <row r="9" spans="1:25" x14ac:dyDescent="0.25">
      <c r="B9" s="40" t="s">
        <v>6</v>
      </c>
      <c r="C9" s="72">
        <v>124.96018827173464</v>
      </c>
      <c r="D9" s="81">
        <f>C9</f>
        <v>124.96018827173464</v>
      </c>
      <c r="E9" s="10">
        <f t="shared" si="0"/>
        <v>125</v>
      </c>
      <c r="H9" s="36" t="s">
        <v>66</v>
      </c>
      <c r="I9" s="63">
        <f>($C$23*MAX(I6:J6)+$D$23*MAX(I7:J7)+$E$23*I8)/$F$23</f>
        <v>8.4966666666666635E-2</v>
      </c>
      <c r="J9" s="64"/>
      <c r="K9" s="9"/>
      <c r="L9" s="10">
        <v>110</v>
      </c>
      <c r="M9" s="6" t="s">
        <v>7</v>
      </c>
      <c r="N9" s="16">
        <v>80</v>
      </c>
      <c r="O9" s="10"/>
      <c r="P9" s="75">
        <f>($C$23*MAX(P6:Q6)+$D$23*MAX(P7:Q7)+$E$23*P8)/$F$23</f>
        <v>-4.9999999999999996E-2</v>
      </c>
      <c r="Q9" s="61"/>
      <c r="R9" s="34" t="s">
        <v>66</v>
      </c>
      <c r="T9" s="2"/>
    </row>
    <row r="10" spans="1:25" x14ac:dyDescent="0.25">
      <c r="B10" s="40" t="s">
        <v>7</v>
      </c>
      <c r="C10" s="72">
        <v>115.41236306316459</v>
      </c>
      <c r="D10" s="81">
        <f>C10</f>
        <v>115.41236306316459</v>
      </c>
      <c r="E10" s="10">
        <v>80</v>
      </c>
      <c r="K10" s="9"/>
      <c r="L10" s="65">
        <v>0.3</v>
      </c>
      <c r="M10" s="6" t="s">
        <v>8</v>
      </c>
      <c r="N10" s="23">
        <v>-0.1</v>
      </c>
      <c r="O10" s="10"/>
      <c r="T10" s="2"/>
    </row>
    <row r="11" spans="1:25" x14ac:dyDescent="0.25">
      <c r="A11" s="60" t="s">
        <v>89</v>
      </c>
      <c r="B11" s="40" t="s">
        <v>8</v>
      </c>
      <c r="C11" s="72">
        <v>92.524120473567137</v>
      </c>
      <c r="D11" s="82">
        <f>2*(C11-100)/(C11+100)</f>
        <v>-7.7661744492522153E-2</v>
      </c>
      <c r="E11" s="65">
        <f>SIGN(D11)*MROUND(ABS(D11),0.05)</f>
        <v>-0.1</v>
      </c>
      <c r="K11" s="9"/>
      <c r="L11" s="65">
        <v>0.3</v>
      </c>
      <c r="M11" s="6" t="s">
        <v>9</v>
      </c>
      <c r="N11" s="23">
        <v>-0.95000000000000007</v>
      </c>
      <c r="O11" s="10"/>
      <c r="T11" s="2"/>
    </row>
    <row r="12" spans="1:25" x14ac:dyDescent="0.25">
      <c r="A12" s="60"/>
      <c r="B12" s="40" t="s">
        <v>9</v>
      </c>
      <c r="C12" s="72">
        <v>35.889042604442722</v>
      </c>
      <c r="D12" s="82">
        <f>2*(C12-100)/(C12+100)</f>
        <v>-0.94357802758500342</v>
      </c>
      <c r="E12" s="65">
        <f t="shared" ref="E12:E13" si="1">SIGN(D12)*MROUND(ABS(D12),0.05)</f>
        <v>-0.95000000000000007</v>
      </c>
      <c r="K12" s="9"/>
      <c r="L12" s="65">
        <v>0.3</v>
      </c>
      <c r="M12" s="6" t="s">
        <v>10</v>
      </c>
      <c r="N12" s="23">
        <v>-0.35000000000000003</v>
      </c>
      <c r="O12" s="10"/>
      <c r="T12" s="2"/>
    </row>
    <row r="13" spans="1:25" x14ac:dyDescent="0.25">
      <c r="A13" s="60"/>
      <c r="B13" s="40" t="s">
        <v>10</v>
      </c>
      <c r="C13" s="72">
        <v>71.108691304066809</v>
      </c>
      <c r="D13" s="82">
        <f>2*(C13-100)/(C13+100)</f>
        <v>-0.33769539671824395</v>
      </c>
      <c r="E13" s="65">
        <f t="shared" si="1"/>
        <v>-0.35000000000000003</v>
      </c>
      <c r="K13" s="9"/>
      <c r="L13" s="10">
        <v>97</v>
      </c>
      <c r="M13" s="6" t="s">
        <v>11</v>
      </c>
      <c r="N13" s="16">
        <v>70</v>
      </c>
      <c r="O13" s="10"/>
      <c r="T13" s="2"/>
    </row>
    <row r="14" spans="1:25" x14ac:dyDescent="0.25">
      <c r="B14" s="40" t="s">
        <v>11</v>
      </c>
      <c r="C14" s="72">
        <v>70.683889371957676</v>
      </c>
      <c r="D14" s="81">
        <f>C14</f>
        <v>70.683889371957676</v>
      </c>
      <c r="E14" s="10">
        <f t="shared" ref="E14" si="2">MROUND(D14,5)</f>
        <v>70</v>
      </c>
      <c r="K14" s="9"/>
      <c r="L14" s="10"/>
      <c r="M14" s="6" t="s">
        <v>12</v>
      </c>
      <c r="N14" s="9"/>
      <c r="O14" s="10"/>
      <c r="T14" s="2"/>
    </row>
    <row r="15" spans="1:25" ht="15.75" thickBot="1" x14ac:dyDescent="0.3">
      <c r="B15" s="41" t="s">
        <v>66</v>
      </c>
      <c r="C15" s="72">
        <f>SUM(C7:C10)+AVERAGE(C11:C13)+C14</f>
        <v>593.3697382019817</v>
      </c>
      <c r="D15" s="2"/>
      <c r="E15" s="10"/>
      <c r="K15" s="11"/>
      <c r="L15" s="12"/>
      <c r="M15" s="14" t="s">
        <v>13</v>
      </c>
      <c r="N15" s="11"/>
      <c r="O15" s="12"/>
      <c r="T15" s="2"/>
    </row>
    <row r="16" spans="1:25" ht="15.75" thickBot="1" x14ac:dyDescent="0.3">
      <c r="B16" s="42" t="s">
        <v>80</v>
      </c>
      <c r="C16" s="73">
        <f>C15-600</f>
        <v>-6.6302617980182958</v>
      </c>
      <c r="D16" s="74">
        <f>C15/600</f>
        <v>0.98894956366996956</v>
      </c>
      <c r="E16" s="12"/>
      <c r="Q16" s="2"/>
      <c r="R16" s="2"/>
      <c r="S16" s="2"/>
      <c r="T16" s="2"/>
      <c r="U16" s="55"/>
      <c r="V16" s="2"/>
      <c r="W16" s="2"/>
      <c r="X16" s="2"/>
      <c r="Y16" s="2"/>
    </row>
    <row r="17" spans="2:25" x14ac:dyDescent="0.25">
      <c r="K17" s="25" t="s">
        <v>70</v>
      </c>
      <c r="L17" s="54" t="s">
        <v>58</v>
      </c>
      <c r="M17" s="51"/>
      <c r="O17" s="27" t="s">
        <v>72</v>
      </c>
      <c r="P17" s="78">
        <f>L13/N13</f>
        <v>1.3857142857142857</v>
      </c>
      <c r="Q17" s="2"/>
      <c r="R17" s="28"/>
      <c r="S17" s="28"/>
      <c r="T17" s="56"/>
      <c r="U17" s="56"/>
      <c r="V17" s="2"/>
      <c r="W17" s="2"/>
      <c r="X17" s="2"/>
      <c r="Y17" s="2"/>
    </row>
    <row r="18" spans="2:25" x14ac:dyDescent="0.25">
      <c r="K18" s="48" t="s">
        <v>71</v>
      </c>
      <c r="L18" s="2" t="s">
        <v>62</v>
      </c>
      <c r="M18" s="79">
        <v>0</v>
      </c>
      <c r="O18" t="s">
        <v>75</v>
      </c>
      <c r="P18" s="26">
        <v>5</v>
      </c>
      <c r="Q18" s="2"/>
      <c r="R18" s="2"/>
      <c r="S18" s="2"/>
      <c r="T18" s="2"/>
      <c r="U18" s="55"/>
      <c r="V18" s="2"/>
      <c r="W18" s="2"/>
      <c r="X18" s="2"/>
      <c r="Y18" s="2"/>
    </row>
    <row r="19" spans="2:25" x14ac:dyDescent="0.25">
      <c r="C19" s="29" t="s">
        <v>81</v>
      </c>
      <c r="D19" s="30" t="s">
        <v>84</v>
      </c>
      <c r="E19" s="30" t="s">
        <v>86</v>
      </c>
      <c r="F19" s="43" t="s">
        <v>66</v>
      </c>
      <c r="K19" s="48"/>
      <c r="L19" s="2" t="s">
        <v>63</v>
      </c>
      <c r="M19" s="79">
        <v>0</v>
      </c>
      <c r="O19" t="s">
        <v>76</v>
      </c>
      <c r="P19" s="26" t="s">
        <v>77</v>
      </c>
      <c r="Q19" s="2"/>
      <c r="R19" s="28"/>
      <c r="S19" s="28"/>
      <c r="T19" s="57"/>
      <c r="U19" s="57"/>
      <c r="V19" s="2"/>
      <c r="W19" s="2"/>
      <c r="X19" s="2"/>
      <c r="Y19" s="2"/>
    </row>
    <row r="20" spans="2:25" x14ac:dyDescent="0.25">
      <c r="B20" s="29" t="s">
        <v>82</v>
      </c>
      <c r="C20" s="37">
        <f>E7/200*E9/100-1</f>
        <v>0</v>
      </c>
      <c r="D20" s="35">
        <f>E8/100*E14/100-1</f>
        <v>5.0000000000000044E-2</v>
      </c>
      <c r="E20" s="44">
        <f>(MAX(C20:C21)+1)*E14/100-1</f>
        <v>-0.30000000000000004</v>
      </c>
      <c r="F20" s="46">
        <f>(C23*MAX(C20:C21)+D23*MAX(D20:D21)+E23*E20)/F23</f>
        <v>-4.9999999999999996E-2</v>
      </c>
      <c r="K20" s="48"/>
      <c r="L20" s="2" t="s">
        <v>64</v>
      </c>
      <c r="M20" s="79">
        <v>1</v>
      </c>
      <c r="Q20" s="2"/>
      <c r="R20" s="28"/>
      <c r="S20" s="28"/>
      <c r="T20" s="57"/>
      <c r="U20" s="57"/>
      <c r="V20" s="2"/>
      <c r="W20" s="2"/>
      <c r="X20" s="2"/>
      <c r="Y20" s="2"/>
    </row>
    <row r="21" spans="2:25" ht="15.75" thickBot="1" x14ac:dyDescent="0.3">
      <c r="B21" s="36" t="s">
        <v>83</v>
      </c>
      <c r="C21" s="38" cm="1">
        <f t="array" ref="C21">AVERAGE(E7*(1+E11:E13))/200-1</f>
        <v>-0.57333333333333336</v>
      </c>
      <c r="D21" s="33">
        <f>E10/100*E14/100-1</f>
        <v>-0.43999999999999995</v>
      </c>
      <c r="E21" s="45"/>
      <c r="F21" s="47"/>
      <c r="K21" s="49"/>
      <c r="L21" s="24" t="s">
        <v>65</v>
      </c>
      <c r="M21" s="80">
        <v>0</v>
      </c>
      <c r="Q21" s="2"/>
      <c r="R21" s="2"/>
      <c r="S21" s="2"/>
      <c r="T21" s="2"/>
      <c r="U21" s="2"/>
      <c r="V21" s="2"/>
      <c r="W21" s="2"/>
      <c r="X21" s="2"/>
      <c r="Y21" s="2"/>
    </row>
    <row r="22" spans="2:25" x14ac:dyDescent="0.25">
      <c r="B22" s="31"/>
      <c r="C22" s="76"/>
      <c r="D22" s="76"/>
      <c r="E22" s="76"/>
      <c r="F22" s="76"/>
      <c r="Q22" s="2"/>
      <c r="R22" s="2"/>
      <c r="S22" s="2"/>
      <c r="T22" s="2"/>
      <c r="U22" s="2"/>
      <c r="V22" s="2"/>
      <c r="W22" s="2"/>
      <c r="X22" s="2"/>
      <c r="Y22" s="2"/>
    </row>
    <row r="23" spans="2:25" x14ac:dyDescent="0.25">
      <c r="B23" s="32" t="s">
        <v>87</v>
      </c>
      <c r="C23" s="19">
        <v>4</v>
      </c>
      <c r="D23" s="19">
        <v>3</v>
      </c>
      <c r="E23" s="19">
        <v>2</v>
      </c>
      <c r="F23" s="19">
        <f>SUM(C23:E23)</f>
        <v>9</v>
      </c>
      <c r="L23" s="17" t="s">
        <v>73</v>
      </c>
      <c r="M23" s="18"/>
      <c r="N23" s="3" t="s">
        <v>74</v>
      </c>
      <c r="Q23" s="2"/>
      <c r="R23" s="2"/>
      <c r="S23" s="2"/>
      <c r="T23" s="2"/>
      <c r="U23" s="2"/>
      <c r="V23" s="2"/>
      <c r="W23" s="2"/>
      <c r="X23" s="2"/>
      <c r="Y23" s="2"/>
    </row>
    <row r="24" spans="2:25" x14ac:dyDescent="0.25">
      <c r="B24" s="32" t="s">
        <v>88</v>
      </c>
      <c r="C24" s="77">
        <f>C23/$F$23</f>
        <v>0.44444444444444442</v>
      </c>
      <c r="D24" s="77">
        <f t="shared" ref="D24:E24" si="3">D23/$F$23</f>
        <v>0.33333333333333331</v>
      </c>
      <c r="E24" s="77">
        <f t="shared" si="3"/>
        <v>0.22222222222222221</v>
      </c>
      <c r="F24" s="19"/>
      <c r="L24">
        <f>$L$7*M18</f>
        <v>0</v>
      </c>
      <c r="M24" s="19" t="s">
        <v>62</v>
      </c>
      <c r="N24" s="21">
        <f>L24*100/N8</f>
        <v>0</v>
      </c>
      <c r="O24" s="20">
        <f>N24/$N$6</f>
        <v>0</v>
      </c>
      <c r="Q24" s="2"/>
      <c r="R24" s="2"/>
      <c r="S24" s="2"/>
      <c r="T24" s="2"/>
      <c r="U24" s="2"/>
      <c r="V24" s="2"/>
      <c r="W24" s="2"/>
      <c r="X24" s="2"/>
      <c r="Y24" s="2"/>
    </row>
    <row r="25" spans="2:25" x14ac:dyDescent="0.25">
      <c r="L25">
        <f>$L$9*M19</f>
        <v>0</v>
      </c>
      <c r="M25" s="19" t="s">
        <v>63</v>
      </c>
      <c r="N25" s="21">
        <f>L25*(1-N10)</f>
        <v>0</v>
      </c>
      <c r="O25" s="20">
        <f t="shared" ref="O25:O28" si="4">N25/$N$6</f>
        <v>0</v>
      </c>
      <c r="Q25" s="2"/>
      <c r="R25" s="2"/>
      <c r="S25" s="2"/>
      <c r="T25" s="2"/>
      <c r="U25" s="2"/>
      <c r="V25" s="2"/>
      <c r="W25" s="2"/>
      <c r="X25" s="2"/>
      <c r="Y25" s="2"/>
    </row>
    <row r="26" spans="2:25" x14ac:dyDescent="0.25">
      <c r="L26">
        <f>$L$9*M20</f>
        <v>110</v>
      </c>
      <c r="M26" s="19" t="s">
        <v>64</v>
      </c>
      <c r="N26" s="21">
        <f>L26*(1-N11)</f>
        <v>214.50000000000003</v>
      </c>
      <c r="O26" s="20">
        <f t="shared" si="4"/>
        <v>1.3406250000000002</v>
      </c>
      <c r="Q26" s="2"/>
      <c r="R26" s="2"/>
      <c r="S26" s="2"/>
      <c r="T26" s="2"/>
      <c r="U26" s="2"/>
      <c r="V26" s="2"/>
      <c r="W26" s="2"/>
      <c r="X26" s="2"/>
      <c r="Y26" s="2"/>
    </row>
    <row r="27" spans="2:25" x14ac:dyDescent="0.25">
      <c r="L27" s="3">
        <f>$L$9*M21</f>
        <v>0</v>
      </c>
      <c r="M27" s="18" t="s">
        <v>65</v>
      </c>
      <c r="N27" s="22">
        <f>L27*(1-N12)</f>
        <v>0</v>
      </c>
      <c r="O27" s="20">
        <f t="shared" si="4"/>
        <v>0</v>
      </c>
    </row>
    <row r="28" spans="2:25" x14ac:dyDescent="0.25">
      <c r="L28">
        <f>SUM(L24:L27)</f>
        <v>110</v>
      </c>
      <c r="M28" s="19" t="s">
        <v>66</v>
      </c>
      <c r="N28" s="21">
        <f>SUM(N24:N27)</f>
        <v>214.50000000000003</v>
      </c>
      <c r="O28" s="20">
        <f t="shared" si="4"/>
        <v>1.3406250000000002</v>
      </c>
    </row>
  </sheetData>
  <dataConsolidate/>
  <mergeCells count="15">
    <mergeCell ref="A11:A13"/>
    <mergeCell ref="T19:T20"/>
    <mergeCell ref="U19:U20"/>
    <mergeCell ref="I8:J8"/>
    <mergeCell ref="I9:J9"/>
    <mergeCell ref="P8:Q8"/>
    <mergeCell ref="P9:Q9"/>
    <mergeCell ref="K3:L3"/>
    <mergeCell ref="N3:O3"/>
    <mergeCell ref="L17:M17"/>
    <mergeCell ref="E20:E21"/>
    <mergeCell ref="F20:F21"/>
    <mergeCell ref="K18:K21"/>
    <mergeCell ref="K4:L4"/>
    <mergeCell ref="N4:O4"/>
  </mergeCells>
  <conditionalFormatting sqref="C16">
    <cfRule type="colorScale" priority="2">
      <colorScale>
        <cfvo type="num" val="-150"/>
        <cfvo type="num" val="0"/>
        <cfvo type="num" val="150"/>
        <color rgb="FFFF7C80"/>
        <color rgb="FF6EE479"/>
        <color rgb="FFF8696B"/>
      </colorScale>
    </cfRule>
  </conditionalFormatting>
  <conditionalFormatting sqref="C7:C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eroll">
                <anchor moveWithCells="1" sizeWithCells="1">
                  <from>
                    <xdr:col>1</xdr:col>
                    <xdr:colOff>762000</xdr:colOff>
                    <xdr:row>3</xdr:row>
                    <xdr:rowOff>0</xdr:rowOff>
                  </from>
                  <to>
                    <xdr:col>5</xdr:col>
                    <xdr:colOff>19050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F061547-00D3-413A-8119-2BCAB2B4E6C5}">
          <x14:formula1>
            <xm:f>Attacksdb!$B:$B</xm:f>
          </x14:formula1>
          <xm:sqref>L17</xm:sqref>
        </x14:dataValidation>
        <x14:dataValidation type="list" allowBlank="1" showInputMessage="1" showErrorMessage="1" xr:uid="{DB79F550-D124-40A4-8E5C-B10F6DC20F25}">
          <x14:formula1>
            <xm:f>Speciesdb!$B:$B</xm:f>
          </x14:formula1>
          <xm:sqref>R10 K4:L4 N4:O4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09FE1-A8F9-47DB-AB63-70E1DC848A95}">
  <sheetPr codeName="Sheet2"/>
  <dimension ref="A1:L14"/>
  <sheetViews>
    <sheetView workbookViewId="0">
      <selection activeCell="E26" sqref="E26"/>
    </sheetView>
  </sheetViews>
  <sheetFormatPr defaultRowHeight="15" x14ac:dyDescent="0.25"/>
  <cols>
    <col min="1" max="1" width="5.140625" bestFit="1" customWidth="1"/>
    <col min="2" max="2" width="18" bestFit="1" customWidth="1"/>
    <col min="3" max="3" width="16.7109375" bestFit="1" customWidth="1"/>
    <col min="4" max="4" width="13.5703125" bestFit="1" customWidth="1"/>
    <col min="5" max="5" width="13.42578125" bestFit="1" customWidth="1"/>
    <col min="6" max="6" width="14.5703125" bestFit="1" customWidth="1"/>
    <col min="7" max="7" width="11" bestFit="1" customWidth="1"/>
    <col min="8" max="8" width="14.85546875" bestFit="1" customWidth="1"/>
    <col min="9" max="9" width="20" bestFit="1" customWidth="1"/>
    <col min="10" max="10" width="19.140625" bestFit="1" customWidth="1"/>
    <col min="11" max="11" width="10.140625" bestFit="1" customWidth="1"/>
    <col min="12" max="12" width="33.85546875" bestFit="1" customWidth="1"/>
  </cols>
  <sheetData>
    <row r="1" spans="1:1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13</v>
      </c>
      <c r="J1" t="s">
        <v>28</v>
      </c>
      <c r="K1" t="s">
        <v>29</v>
      </c>
      <c r="L1" t="s">
        <v>30</v>
      </c>
    </row>
    <row r="2" spans="1:12" x14ac:dyDescent="0.25">
      <c r="A2">
        <v>0</v>
      </c>
      <c r="B2" s="1" t="s">
        <v>54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 s="1" t="s">
        <v>15</v>
      </c>
      <c r="J2" s="1" t="s">
        <v>15</v>
      </c>
      <c r="L2" s="1" t="s">
        <v>55</v>
      </c>
    </row>
    <row r="3" spans="1:12" x14ac:dyDescent="0.25">
      <c r="A3">
        <v>1</v>
      </c>
      <c r="B3" s="1" t="s">
        <v>56</v>
      </c>
      <c r="C3">
        <v>0</v>
      </c>
      <c r="D3">
        <v>1</v>
      </c>
      <c r="E3">
        <v>0</v>
      </c>
      <c r="F3">
        <v>0</v>
      </c>
      <c r="G3">
        <v>1</v>
      </c>
      <c r="H3">
        <v>1</v>
      </c>
      <c r="I3" s="1" t="s">
        <v>15</v>
      </c>
      <c r="J3" s="1" t="s">
        <v>15</v>
      </c>
      <c r="L3" s="1" t="s">
        <v>57</v>
      </c>
    </row>
    <row r="4" spans="1:12" x14ac:dyDescent="0.25">
      <c r="A4">
        <v>2</v>
      </c>
      <c r="B4" s="1" t="s">
        <v>58</v>
      </c>
      <c r="C4">
        <v>0</v>
      </c>
      <c r="D4">
        <v>0</v>
      </c>
      <c r="E4">
        <v>1</v>
      </c>
      <c r="F4">
        <v>0</v>
      </c>
      <c r="G4">
        <v>1</v>
      </c>
      <c r="H4">
        <v>1</v>
      </c>
      <c r="I4" s="1" t="s">
        <v>15</v>
      </c>
      <c r="J4" s="1" t="s">
        <v>15</v>
      </c>
      <c r="L4" s="1" t="s">
        <v>59</v>
      </c>
    </row>
    <row r="5" spans="1:12" x14ac:dyDescent="0.25">
      <c r="A5">
        <v>3</v>
      </c>
      <c r="B5" s="1" t="s">
        <v>60</v>
      </c>
      <c r="C5">
        <v>0</v>
      </c>
      <c r="D5">
        <v>0</v>
      </c>
      <c r="E5">
        <v>0</v>
      </c>
      <c r="F5">
        <v>1</v>
      </c>
      <c r="G5">
        <v>1</v>
      </c>
      <c r="H5">
        <v>1</v>
      </c>
      <c r="I5" s="1" t="s">
        <v>15</v>
      </c>
      <c r="J5" s="1" t="s">
        <v>15</v>
      </c>
      <c r="L5" s="1" t="s">
        <v>61</v>
      </c>
    </row>
    <row r="6" spans="1:12" x14ac:dyDescent="0.25">
      <c r="A6">
        <v>4</v>
      </c>
      <c r="B6" s="1" t="s">
        <v>31</v>
      </c>
      <c r="C6">
        <v>1.2</v>
      </c>
      <c r="D6">
        <v>0</v>
      </c>
      <c r="E6">
        <v>0</v>
      </c>
      <c r="F6">
        <v>0</v>
      </c>
      <c r="G6">
        <v>0.8</v>
      </c>
      <c r="H6">
        <v>1</v>
      </c>
      <c r="I6" s="1" t="s">
        <v>32</v>
      </c>
      <c r="J6" s="1" t="s">
        <v>15</v>
      </c>
      <c r="L6" s="1" t="s">
        <v>33</v>
      </c>
    </row>
    <row r="7" spans="1:12" x14ac:dyDescent="0.25">
      <c r="A7">
        <v>5</v>
      </c>
      <c r="B7" s="1" t="s">
        <v>34</v>
      </c>
      <c r="C7">
        <v>0.6</v>
      </c>
      <c r="D7">
        <v>0</v>
      </c>
      <c r="E7">
        <v>0</v>
      </c>
      <c r="F7">
        <v>0</v>
      </c>
      <c r="G7">
        <v>1</v>
      </c>
      <c r="H7">
        <v>1</v>
      </c>
      <c r="I7" s="1" t="s">
        <v>32</v>
      </c>
      <c r="J7" s="1" t="s">
        <v>35</v>
      </c>
      <c r="L7" s="1" t="s">
        <v>36</v>
      </c>
    </row>
    <row r="8" spans="1:12" x14ac:dyDescent="0.25">
      <c r="A8">
        <v>6</v>
      </c>
      <c r="B8" s="1" t="s">
        <v>37</v>
      </c>
      <c r="C8">
        <v>0</v>
      </c>
      <c r="D8">
        <v>0.1</v>
      </c>
      <c r="E8">
        <v>0</v>
      </c>
      <c r="F8">
        <v>0</v>
      </c>
      <c r="G8">
        <v>1</v>
      </c>
      <c r="H8">
        <v>1</v>
      </c>
      <c r="I8" s="1" t="s">
        <v>32</v>
      </c>
      <c r="J8" s="1" t="s">
        <v>38</v>
      </c>
      <c r="L8" s="1" t="s">
        <v>39</v>
      </c>
    </row>
    <row r="9" spans="1:12" x14ac:dyDescent="0.25">
      <c r="A9">
        <v>7</v>
      </c>
      <c r="B9" s="1" t="s">
        <v>40</v>
      </c>
      <c r="C9">
        <v>0</v>
      </c>
      <c r="D9">
        <v>0</v>
      </c>
      <c r="E9">
        <v>0.1</v>
      </c>
      <c r="F9">
        <v>0</v>
      </c>
      <c r="G9">
        <v>0.9</v>
      </c>
      <c r="H9">
        <v>1</v>
      </c>
      <c r="I9" s="1" t="s">
        <v>41</v>
      </c>
      <c r="J9" s="1" t="s">
        <v>15</v>
      </c>
      <c r="L9" s="1" t="s">
        <v>42</v>
      </c>
    </row>
    <row r="10" spans="1:12" x14ac:dyDescent="0.25">
      <c r="A10">
        <v>8</v>
      </c>
      <c r="B10" s="1" t="s">
        <v>43</v>
      </c>
      <c r="C10">
        <v>0.1</v>
      </c>
      <c r="D10">
        <v>0.3</v>
      </c>
      <c r="E10">
        <v>0</v>
      </c>
      <c r="F10">
        <v>0</v>
      </c>
      <c r="G10">
        <v>0.4</v>
      </c>
      <c r="H10">
        <v>1</v>
      </c>
      <c r="I10" s="1" t="s">
        <v>32</v>
      </c>
      <c r="J10" s="1" t="s">
        <v>44</v>
      </c>
      <c r="L10" s="1" t="s">
        <v>45</v>
      </c>
    </row>
    <row r="11" spans="1:12" x14ac:dyDescent="0.25">
      <c r="A11">
        <v>9</v>
      </c>
      <c r="B11" s="1" t="s">
        <v>46</v>
      </c>
      <c r="C11">
        <v>0</v>
      </c>
      <c r="D11">
        <v>0</v>
      </c>
      <c r="E11">
        <v>1</v>
      </c>
      <c r="F11">
        <v>0</v>
      </c>
      <c r="G11">
        <v>1</v>
      </c>
      <c r="H11">
        <v>1</v>
      </c>
      <c r="I11" s="1" t="s">
        <v>47</v>
      </c>
      <c r="J11" s="1" t="s">
        <v>15</v>
      </c>
      <c r="L11" s="1" t="s">
        <v>48</v>
      </c>
    </row>
    <row r="12" spans="1:12" x14ac:dyDescent="0.25">
      <c r="A12">
        <v>10</v>
      </c>
      <c r="B12" s="1" t="s">
        <v>49</v>
      </c>
      <c r="C12">
        <v>0</v>
      </c>
      <c r="D12">
        <v>0.3</v>
      </c>
      <c r="E12">
        <v>0</v>
      </c>
      <c r="F12">
        <v>0</v>
      </c>
      <c r="G12">
        <v>1</v>
      </c>
      <c r="H12">
        <v>1</v>
      </c>
      <c r="I12" s="1" t="s">
        <v>32</v>
      </c>
      <c r="J12" s="1" t="s">
        <v>50</v>
      </c>
      <c r="K12">
        <v>11</v>
      </c>
      <c r="L12" s="1" t="s">
        <v>15</v>
      </c>
    </row>
    <row r="13" spans="1:12" x14ac:dyDescent="0.25">
      <c r="A13">
        <v>11</v>
      </c>
      <c r="B13" s="1" t="s">
        <v>51</v>
      </c>
      <c r="C13">
        <v>0</v>
      </c>
      <c r="D13">
        <v>0</v>
      </c>
      <c r="E13">
        <v>0.3</v>
      </c>
      <c r="F13">
        <v>0</v>
      </c>
      <c r="G13">
        <v>1</v>
      </c>
      <c r="H13">
        <v>1</v>
      </c>
      <c r="I13" s="1" t="s">
        <v>32</v>
      </c>
      <c r="J13" s="1" t="s">
        <v>52</v>
      </c>
      <c r="K13">
        <v>12</v>
      </c>
      <c r="L13" s="1" t="s">
        <v>15</v>
      </c>
    </row>
    <row r="14" spans="1:12" x14ac:dyDescent="0.25">
      <c r="A14">
        <v>12</v>
      </c>
      <c r="B14" s="1" t="s">
        <v>53</v>
      </c>
      <c r="C14">
        <v>0</v>
      </c>
      <c r="D14">
        <v>0</v>
      </c>
      <c r="E14">
        <v>0</v>
      </c>
      <c r="F14">
        <v>0.3</v>
      </c>
      <c r="G14">
        <v>1</v>
      </c>
      <c r="H14">
        <v>2</v>
      </c>
      <c r="I14" s="1" t="s">
        <v>32</v>
      </c>
      <c r="J14" s="1" t="s">
        <v>15</v>
      </c>
      <c r="L14" s="1" t="s">
        <v>15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23906-F68E-40A6-BD96-95150E09CD4A}">
  <sheetPr codeName="Sheet3"/>
  <dimension ref="A1:M6"/>
  <sheetViews>
    <sheetView workbookViewId="0">
      <selection activeCell="F31" sqref="F31"/>
    </sheetView>
  </sheetViews>
  <sheetFormatPr defaultRowHeight="15" x14ac:dyDescent="0.25"/>
  <cols>
    <col min="1" max="1" width="5.140625" bestFit="1" customWidth="1"/>
    <col min="2" max="2" width="10.140625" bestFit="1" customWidth="1"/>
    <col min="3" max="3" width="11.28515625" bestFit="1" customWidth="1"/>
    <col min="4" max="4" width="9.42578125" bestFit="1" customWidth="1"/>
    <col min="5" max="5" width="10.85546875" bestFit="1" customWidth="1"/>
    <col min="6" max="6" width="8.5703125" bestFit="1" customWidth="1"/>
    <col min="7" max="8" width="10.42578125" bestFit="1" customWidth="1"/>
    <col min="9" max="9" width="10.140625" bestFit="1" customWidth="1"/>
    <col min="10" max="10" width="11.42578125" bestFit="1" customWidth="1"/>
    <col min="11" max="11" width="6.42578125" bestFit="1" customWidth="1"/>
    <col min="13" max="13" width="7.7109375" bestFit="1" customWidth="1"/>
  </cols>
  <sheetData>
    <row r="1" spans="1:13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13" x14ac:dyDescent="0.25">
      <c r="A2">
        <v>0</v>
      </c>
      <c r="B2" s="1" t="s">
        <v>0</v>
      </c>
      <c r="C2" s="1" t="s">
        <v>14</v>
      </c>
      <c r="D2">
        <v>200</v>
      </c>
      <c r="E2">
        <v>100</v>
      </c>
      <c r="F2">
        <v>100</v>
      </c>
      <c r="G2">
        <v>100</v>
      </c>
      <c r="H2">
        <v>0</v>
      </c>
      <c r="I2">
        <v>0</v>
      </c>
      <c r="J2">
        <v>0</v>
      </c>
      <c r="K2">
        <v>100</v>
      </c>
      <c r="L2" s="1" t="s">
        <v>15</v>
      </c>
      <c r="M2" s="1" t="s">
        <v>15</v>
      </c>
    </row>
    <row r="3" spans="1:13" x14ac:dyDescent="0.25">
      <c r="A3">
        <v>1</v>
      </c>
      <c r="B3" s="1" t="s">
        <v>16</v>
      </c>
      <c r="C3" s="1" t="s">
        <v>14</v>
      </c>
      <c r="D3">
        <v>238</v>
      </c>
      <c r="E3">
        <v>60</v>
      </c>
      <c r="F3">
        <v>115</v>
      </c>
      <c r="G3">
        <v>80</v>
      </c>
      <c r="H3">
        <v>0.3</v>
      </c>
      <c r="I3">
        <v>-0.2</v>
      </c>
      <c r="J3">
        <v>0</v>
      </c>
      <c r="K3">
        <v>80</v>
      </c>
      <c r="L3" s="1" t="s">
        <v>15</v>
      </c>
      <c r="M3" s="1" t="s">
        <v>15</v>
      </c>
    </row>
    <row r="4" spans="1:13" x14ac:dyDescent="0.25">
      <c r="A4">
        <v>2</v>
      </c>
      <c r="B4" s="1" t="s">
        <v>17</v>
      </c>
      <c r="C4" s="1" t="s">
        <v>18</v>
      </c>
      <c r="D4">
        <v>173</v>
      </c>
      <c r="E4">
        <v>130</v>
      </c>
      <c r="F4">
        <v>83</v>
      </c>
      <c r="G4">
        <v>80</v>
      </c>
      <c r="H4">
        <v>0</v>
      </c>
      <c r="I4">
        <v>0</v>
      </c>
      <c r="J4">
        <v>0</v>
      </c>
      <c r="K4">
        <v>128</v>
      </c>
      <c r="L4" s="1" t="s">
        <v>15</v>
      </c>
      <c r="M4" s="1" t="s">
        <v>15</v>
      </c>
    </row>
    <row r="5" spans="1:13" x14ac:dyDescent="0.25">
      <c r="A5">
        <v>3</v>
      </c>
      <c r="B5" s="1" t="s">
        <v>19</v>
      </c>
      <c r="C5" s="1" t="s">
        <v>20</v>
      </c>
      <c r="D5">
        <v>192</v>
      </c>
      <c r="E5">
        <v>115</v>
      </c>
      <c r="F5">
        <v>101</v>
      </c>
      <c r="G5">
        <v>75</v>
      </c>
      <c r="H5">
        <v>0.1</v>
      </c>
      <c r="I5">
        <v>-0.1</v>
      </c>
      <c r="J5">
        <v>0.2</v>
      </c>
      <c r="K5">
        <v>113</v>
      </c>
      <c r="L5" s="1" t="s">
        <v>15</v>
      </c>
      <c r="M5" s="1" t="s">
        <v>15</v>
      </c>
    </row>
    <row r="6" spans="1:13" x14ac:dyDescent="0.25">
      <c r="A6">
        <v>4</v>
      </c>
      <c r="B6" s="1" t="s">
        <v>21</v>
      </c>
      <c r="C6" s="1" t="s">
        <v>14</v>
      </c>
      <c r="D6">
        <v>170</v>
      </c>
      <c r="E6">
        <v>40</v>
      </c>
      <c r="F6">
        <v>80</v>
      </c>
      <c r="G6">
        <v>110</v>
      </c>
      <c r="H6">
        <v>0.3</v>
      </c>
      <c r="I6">
        <v>0.3</v>
      </c>
      <c r="J6">
        <v>0.3</v>
      </c>
      <c r="K6">
        <v>97</v>
      </c>
      <c r="L6" s="1" t="s">
        <v>15</v>
      </c>
      <c r="M6" s="1" t="s">
        <v>15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D45B25-5C39-4505-9D1A-C6ACF78A619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Calcsheet</vt:lpstr>
      <vt:lpstr>Attacksdb</vt:lpstr>
      <vt:lpstr>Speciesdb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PoopieJoe</dc:creator>
  <cp:lastModifiedBy>PoopieJoe</cp:lastModifiedBy>
  <dcterms:created xsi:type="dcterms:W3CDTF">2021-12-04T11:29:54Z</dcterms:created>
  <dcterms:modified xsi:type="dcterms:W3CDTF">2021-12-17T12:51:18Z</dcterms:modified>
</cp:coreProperties>
</file>